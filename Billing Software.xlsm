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4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5.xml" ContentType="application/vnd.ms-excel.person+xml"/>
  <Override PartName="/xl/persons/person0.xml" ContentType="application/vnd.ms-excel.person+xml"/>
  <Override PartName="/xl/persons/person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c8d6a838504e5f/Desktop/Sreekrishna Dairy Farm/"/>
    </mc:Choice>
  </mc:AlternateContent>
  <xr:revisionPtr revIDLastSave="8" documentId="114_{5E4B7E58-4B0D-4592-83B4-9DF653033829}" xr6:coauthVersionLast="47" xr6:coauthVersionMax="47" xr10:uidLastSave="{B54CD3BF-F676-47EB-BE63-99A6440AF805}"/>
  <bookViews>
    <workbookView xWindow="-110" yWindow="-110" windowWidth="19420" windowHeight="10300" xr2:uid="{A92EDD87-3011-4F60-AEC8-05944F7E5E76}"/>
  </bookViews>
  <sheets>
    <sheet name="Bill" sheetId="1" r:id="rId1"/>
    <sheet name="Sales" sheetId="3" r:id="rId2"/>
  </sheets>
  <definedNames>
    <definedName name="_xlnm.Print_Area" localSheetId="0">Bill!$B$4:$F$25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F18" i="1"/>
  <c r="F17" i="1"/>
  <c r="F16" i="1"/>
  <c r="E12" i="1"/>
  <c r="D12" i="1"/>
  <c r="F21" i="1" l="1"/>
  <c r="F20" i="1"/>
  <c r="F19" i="1"/>
  <c r="D23" i="1" l="1"/>
</calcChain>
</file>

<file path=xl/sharedStrings.xml><?xml version="1.0" encoding="utf-8"?>
<sst xmlns="http://schemas.openxmlformats.org/spreadsheetml/2006/main" count="33" uniqueCount="31">
  <si>
    <t>Sreekrishna Dairy Farm Billing Software</t>
  </si>
  <si>
    <t>Monthly Sales Bill</t>
  </si>
  <si>
    <t>Billing Month:</t>
  </si>
  <si>
    <t>Prop: M. V. Baburajan</t>
  </si>
  <si>
    <t>Billing Year:</t>
  </si>
  <si>
    <t>Mob. No: 9447524819</t>
  </si>
  <si>
    <t>Bill No:</t>
  </si>
  <si>
    <t>Bill Date:</t>
  </si>
  <si>
    <t>Customer Name:</t>
  </si>
  <si>
    <t>Product Name</t>
  </si>
  <si>
    <t>Qty.</t>
  </si>
  <si>
    <t>Rate</t>
  </si>
  <si>
    <t>Amount</t>
  </si>
  <si>
    <t>Total Amount:</t>
  </si>
  <si>
    <t>Bill No.</t>
  </si>
  <si>
    <t xml:space="preserve">Bill Date </t>
  </si>
  <si>
    <t>Bill Duration</t>
  </si>
  <si>
    <t>Customer Name</t>
  </si>
  <si>
    <t>Total Amount</t>
  </si>
  <si>
    <t>January</t>
  </si>
  <si>
    <t>MILK</t>
  </si>
  <si>
    <t>CURD</t>
  </si>
  <si>
    <t>BUTTERMILK</t>
  </si>
  <si>
    <t>PANEER</t>
  </si>
  <si>
    <t>GHEE</t>
  </si>
  <si>
    <t>COW DUNG
(DRIED)</t>
  </si>
  <si>
    <t>Google Pay No:</t>
  </si>
  <si>
    <t>Thrissur - 680662.</t>
  </si>
  <si>
    <r>
      <rPr>
        <sz val="20"/>
        <color theme="1"/>
        <rFont val="Times New Roman"/>
        <family val="1"/>
      </rPr>
      <t>Billing Duration</t>
    </r>
    <r>
      <rPr>
        <sz val="22"/>
        <color theme="1"/>
        <rFont val="Times New Roman"/>
        <family val="1"/>
      </rPr>
      <t xml:space="preserve"> 
</t>
    </r>
    <r>
      <rPr>
        <sz val="20"/>
        <color theme="1"/>
        <rFont val="Times New Roman"/>
        <family val="1"/>
      </rPr>
      <t>(Month &amp; Year)</t>
    </r>
    <r>
      <rPr>
        <sz val="22"/>
        <color theme="1"/>
        <rFont val="Times New Roman"/>
        <family val="1"/>
      </rPr>
      <t>:</t>
    </r>
  </si>
  <si>
    <t>SREEKRISHNA DAIRY FARM, 
THUMBOOR</t>
  </si>
  <si>
    <t>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</si>
</sst>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_);\(&quot;₹&quot;#,##0.00\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 tint="0.14999847407452621"/>
      <name val="Sitka Heading Semibold"/>
    </font>
    <font>
      <b/>
      <sz val="12"/>
      <color theme="4" tint="-0.499984740745262"/>
      <name val="Sitka Display Semibold"/>
    </font>
    <font>
      <sz val="12"/>
      <color theme="1"/>
      <name val="Times New Roman"/>
      <family val="1"/>
    </font>
    <font>
      <sz val="24"/>
      <color theme="1"/>
      <name val="Times New Roman"/>
      <family val="1"/>
    </font>
    <font>
      <sz val="22"/>
      <color theme="1"/>
      <name val="Times New Roman"/>
      <family val="1"/>
    </font>
    <font>
      <sz val="20"/>
      <color theme="1"/>
      <name val="Times New Roman"/>
      <family val="1"/>
    </font>
    <font>
      <sz val="22"/>
      <color theme="1"/>
      <name val="Calibri"/>
      <family val="2"/>
      <scheme val="minor"/>
    </font>
    <font>
      <sz val="2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gradientFill degree="90">
        <stop position="0">
          <color theme="8" tint="0.80001220740379042"/>
        </stop>
        <stop position="1">
          <color theme="4" tint="0.40000610370189521"/>
        </stop>
      </gradient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left" indent="1"/>
    </xf>
    <xf numFmtId="0" fontId="0" fillId="0" borderId="11" xfId="0" applyBorder="1"/>
    <xf numFmtId="0" fontId="0" fillId="0" borderId="11" xfId="0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0" fontId="0" fillId="0" borderId="8" xfId="0" applyBorder="1" applyAlignment="1">
      <alignment vertical="center"/>
    </xf>
    <xf numFmtId="164" fontId="0" fillId="0" borderId="11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22" fontId="0" fillId="0" borderId="11" xfId="0" applyNumberFormat="1" applyBorder="1" applyAlignment="1">
      <alignment horizontal="center"/>
    </xf>
    <xf numFmtId="22" fontId="0" fillId="0" borderId="8" xfId="0" applyNumberFormat="1" applyBorder="1" applyAlignment="1">
      <alignment horizont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3" borderId="6" xfId="0" applyFont="1" applyFill="1" applyBorder="1"/>
    <xf numFmtId="0" fontId="4" fillId="3" borderId="15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10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22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4" xfId="0" applyFont="1" applyBorder="1" applyAlignment="1">
      <alignment vertical="center"/>
    </xf>
    <xf numFmtId="0" fontId="0" fillId="0" borderId="3" xfId="0" applyBorder="1"/>
    <xf numFmtId="22" fontId="6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16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17/10/relationships/person" Target="persons/person4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17/10/relationships/person" Target="persons/person1.xml"/><Relationship Id="rId5" Type="http://schemas.openxmlformats.org/officeDocument/2006/relationships/sharedStrings" Target="sharedStrings.xml"/><Relationship Id="rId15" Type="http://schemas.microsoft.com/office/2017/10/relationships/person" Target="persons/person5.xml"/><Relationship Id="rId10" Type="http://schemas.microsoft.com/office/2017/10/relationships/person" Target="persons/person0.xml"/><Relationship Id="rId4" Type="http://schemas.openxmlformats.org/officeDocument/2006/relationships/styles" Target="styles.xml"/><Relationship Id="rId14" Type="http://schemas.microsoft.com/office/2017/10/relationships/person" Target="persons/person.xml"/><Relationship Id="rId9" Type="http://schemas.microsoft.com/office/2017/10/relationships/person" Target="persons/person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bibliophilevirtuallibrary.com/2019/03/27/recruitment-for-deputy-manager-assistant-manager-post-at-fssai-new-delhi-last-date-25-04-19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232834</xdr:colOff>
      <xdr:row>12</xdr:row>
      <xdr:rowOff>14111</xdr:rowOff>
    </xdr:from>
    <xdr:to>
      <xdr:col>8</xdr:col>
      <xdr:colOff>726722</xdr:colOff>
      <xdr:row>13</xdr:row>
      <xdr:rowOff>0</xdr:rowOff>
    </xdr:to>
    <xdr:sp macro="[0]!SaveSa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8BC07C2-4E1C-475A-8B6D-AD0637553350}"/>
            </a:ext>
          </a:extLst>
        </xdr:cNvPr>
        <xdr:cNvSpPr/>
      </xdr:nvSpPr>
      <xdr:spPr>
        <a:xfrm>
          <a:off x="7888112" y="4205111"/>
          <a:ext cx="1502832" cy="40216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>
              <a:solidFill>
                <a:schemeClr val="accent6">
                  <a:lumMod val="50000"/>
                </a:schemeClr>
              </a:solidFill>
            </a:rPr>
            <a:t>Save Bill</a:t>
          </a:r>
        </a:p>
      </xdr:txBody>
    </xdr:sp>
    <xdr:clientData/>
  </xdr:twoCellAnchor>
  <xdr:twoCellAnchor>
    <xdr:from>
      <xdr:col>7</xdr:col>
      <xdr:colOff>232833</xdr:colOff>
      <xdr:row>16</xdr:row>
      <xdr:rowOff>7056</xdr:rowOff>
    </xdr:from>
    <xdr:to>
      <xdr:col>8</xdr:col>
      <xdr:colOff>726721</xdr:colOff>
      <xdr:row>17</xdr:row>
      <xdr:rowOff>0</xdr:rowOff>
    </xdr:to>
    <xdr:sp macro="[0]!PrintBill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22575E6-5DEC-409F-9C37-5E9B9640B62A}"/>
            </a:ext>
          </a:extLst>
        </xdr:cNvPr>
        <xdr:cNvSpPr/>
      </xdr:nvSpPr>
      <xdr:spPr>
        <a:xfrm>
          <a:off x="7888111" y="5891389"/>
          <a:ext cx="1502832" cy="40922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>
              <a:solidFill>
                <a:schemeClr val="accent6">
                  <a:lumMod val="50000"/>
                </a:schemeClr>
              </a:solidFill>
            </a:rPr>
            <a:t>Print Bill</a:t>
          </a:r>
        </a:p>
      </xdr:txBody>
    </xdr:sp>
    <xdr:clientData/>
  </xdr:twoCellAnchor>
  <xdr:twoCellAnchor>
    <xdr:from>
      <xdr:col>7</xdr:col>
      <xdr:colOff>239889</xdr:colOff>
      <xdr:row>20</xdr:row>
      <xdr:rowOff>1</xdr:rowOff>
    </xdr:from>
    <xdr:to>
      <xdr:col>8</xdr:col>
      <xdr:colOff>733777</xdr:colOff>
      <xdr:row>20</xdr:row>
      <xdr:rowOff>402166</xdr:rowOff>
    </xdr:to>
    <xdr:sp macro="[0]!ClearBil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B89D5BB-2784-4C45-AF6C-7C479247D37B}"/>
            </a:ext>
          </a:extLst>
        </xdr:cNvPr>
        <xdr:cNvSpPr/>
      </xdr:nvSpPr>
      <xdr:spPr>
        <a:xfrm>
          <a:off x="6695722" y="4021668"/>
          <a:ext cx="1502833" cy="40216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>
              <a:solidFill>
                <a:schemeClr val="accent6">
                  <a:lumMod val="50000"/>
                </a:schemeClr>
              </a:solidFill>
            </a:rPr>
            <a:t>Clear Bill</a:t>
          </a:r>
        </a:p>
      </xdr:txBody>
    </xdr:sp>
    <xdr:clientData/>
  </xdr:twoCellAnchor>
  <xdr:twoCellAnchor editAs="oneCell">
    <xdr:from>
      <xdr:col>1</xdr:col>
      <xdr:colOff>414868</xdr:colOff>
      <xdr:row>5</xdr:row>
      <xdr:rowOff>347840</xdr:rowOff>
    </xdr:from>
    <xdr:to>
      <xdr:col>2</xdr:col>
      <xdr:colOff>368300</xdr:colOff>
      <xdr:row>6</xdr:row>
      <xdr:rowOff>336538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4E3D772-C6E1-EF72-902A-B75F480450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12346" r="62777" b="33551"/>
        <a:stretch/>
      </xdr:blipFill>
      <xdr:spPr>
        <a:xfrm>
          <a:off x="1291168" y="2100440"/>
          <a:ext cx="1032932" cy="4458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D59A-1B87-4E5E-9A0C-4FE275412A0E}">
  <sheetPr codeName="Sheet1">
    <pageSetUpPr fitToPage="1"/>
  </sheetPr>
  <dimension ref="B2:N26"/>
  <sheetViews>
    <sheetView tabSelected="1" showRuler="0" showWhiteSpace="0" topLeftCell="A7" zoomScale="40" zoomScaleNormal="40" zoomScaleSheetLayoutView="40" workbookViewId="0">
      <selection activeCell="D13" sqref="D13:F13"/>
    </sheetView>
  </sheetViews>
  <sheetFormatPr defaultRowHeight="14.5" x14ac:dyDescent="0.35"/>
  <cols>
    <col min="1" max="1" width="12.453125" customWidth="1"/>
    <col min="2" max="2" width="15.36328125" customWidth="1"/>
    <col min="3" max="3" width="12.90625" customWidth="1"/>
    <col min="4" max="4" width="14.90625" customWidth="1"/>
    <col min="5" max="5" width="13.36328125" customWidth="1"/>
    <col min="6" max="6" width="16.08984375" customWidth="1"/>
    <col min="7" max="7" width="10.54296875" customWidth="1"/>
    <col min="8" max="8" width="14.453125" bestFit="1" customWidth="1"/>
    <col min="9" max="9" width="15.54296875" customWidth="1"/>
    <col min="10" max="10" width="15.26953125" bestFit="1" customWidth="1"/>
    <col min="11" max="11" width="9.54296875" bestFit="1" customWidth="1"/>
    <col min="12" max="12" width="8.81640625" customWidth="1"/>
    <col min="13" max="13" width="10.1796875" customWidth="1"/>
  </cols>
  <sheetData>
    <row r="2" spans="2:14" ht="14.5" customHeight="1" x14ac:dyDescent="0.35">
      <c r="B2" s="41" t="s">
        <v>0</v>
      </c>
      <c r="C2" s="42"/>
      <c r="D2" s="42"/>
      <c r="E2" s="42"/>
      <c r="F2" s="42"/>
      <c r="G2" s="42"/>
      <c r="H2" s="42"/>
      <c r="I2" s="43"/>
      <c r="J2" s="23"/>
      <c r="K2" s="23"/>
      <c r="L2" s="23"/>
      <c r="M2" s="23"/>
      <c r="N2" s="23"/>
    </row>
    <row r="3" spans="2:14" ht="14.5" customHeight="1" thickBot="1" x14ac:dyDescent="0.4">
      <c r="B3" s="44"/>
      <c r="C3" s="45"/>
      <c r="D3" s="45"/>
      <c r="E3" s="45"/>
      <c r="F3" s="45"/>
      <c r="G3" s="46"/>
      <c r="H3" s="46"/>
      <c r="I3" s="47"/>
      <c r="J3" s="23"/>
      <c r="K3" s="23"/>
      <c r="L3" s="23"/>
      <c r="M3" s="23"/>
      <c r="N3" s="23"/>
    </row>
    <row r="4" spans="2:14" ht="36" customHeight="1" thickBot="1" x14ac:dyDescent="0.4">
      <c r="B4" s="48" t="s">
        <v>1</v>
      </c>
      <c r="C4" s="48"/>
      <c r="D4" s="48"/>
      <c r="E4" s="48"/>
      <c r="F4" s="48"/>
      <c r="H4" s="26"/>
      <c r="I4" s="36"/>
    </row>
    <row r="5" spans="2:14" ht="86.5" customHeight="1" thickBot="1" x14ac:dyDescent="0.4">
      <c r="B5" s="49" t="s">
        <v>29</v>
      </c>
      <c r="C5" s="50"/>
      <c r="D5" s="50"/>
      <c r="E5" s="50"/>
      <c r="F5" s="50"/>
      <c r="I5" s="1"/>
    </row>
    <row r="6" spans="2:14" ht="34.5" customHeight="1" thickBot="1" x14ac:dyDescent="0.65">
      <c r="B6" s="52" t="s">
        <v>27</v>
      </c>
      <c r="C6" s="52"/>
      <c r="D6" s="52"/>
      <c r="E6" s="52"/>
      <c r="F6" s="52"/>
      <c r="G6" s="5"/>
      <c r="H6" s="24" t="s">
        <v>2</v>
      </c>
      <c r="I6" s="25" t="s">
        <v>19</v>
      </c>
    </row>
    <row r="7" spans="2:14" ht="37.5" customHeight="1" thickBot="1" x14ac:dyDescent="0.4">
      <c r="B7" s="53">
        <v>21318202000129</v>
      </c>
      <c r="C7" s="53"/>
      <c r="D7" s="53"/>
      <c r="E7" s="53"/>
      <c r="F7" s="53"/>
      <c r="H7" s="26"/>
      <c r="I7" s="1"/>
    </row>
    <row r="8" spans="2:14" ht="39.5" customHeight="1" thickBot="1" x14ac:dyDescent="0.65">
      <c r="B8" s="51" t="s">
        <v>3</v>
      </c>
      <c r="C8" s="51"/>
      <c r="D8" s="51"/>
      <c r="E8" s="51"/>
      <c r="F8" s="51"/>
      <c r="H8" s="24" t="s">
        <v>4</v>
      </c>
      <c r="I8" s="25">
        <v>2024</v>
      </c>
    </row>
    <row r="9" spans="2:14" ht="35.5" customHeight="1" thickBot="1" x14ac:dyDescent="0.4">
      <c r="B9" s="40" t="s">
        <v>5</v>
      </c>
      <c r="C9" s="40"/>
      <c r="D9" s="40"/>
      <c r="E9" s="40"/>
      <c r="F9" s="40"/>
      <c r="I9" s="1"/>
    </row>
    <row r="10" spans="2:14" ht="35" customHeight="1" x14ac:dyDescent="0.35">
      <c r="B10" s="33" t="s">
        <v>6</v>
      </c>
      <c r="C10" s="29">
        <v>5008</v>
      </c>
      <c r="D10" s="31"/>
      <c r="E10" s="31"/>
      <c r="F10" s="31"/>
      <c r="G10" s="22"/>
      <c r="I10" s="1"/>
      <c r="N10" s="9"/>
    </row>
    <row r="11" spans="2:14" ht="35" customHeight="1" x14ac:dyDescent="0.35">
      <c r="B11" s="33" t="s">
        <v>7</v>
      </c>
      <c r="C11" s="37">
        <f ca="1">NOW()</f>
        <v>45606.769805787037</v>
      </c>
      <c r="D11" s="37"/>
      <c r="E11" s="37"/>
      <c r="F11" s="32"/>
      <c r="G11" s="22"/>
      <c r="I11" s="1"/>
      <c r="N11" s="9"/>
    </row>
    <row r="12" spans="2:14" ht="62" customHeight="1" x14ac:dyDescent="0.35">
      <c r="B12" s="54" t="s">
        <v>28</v>
      </c>
      <c r="C12" s="54"/>
      <c r="D12" s="28" t="str">
        <f>I6</f>
        <v>January</v>
      </c>
      <c r="E12" s="27">
        <f>I8</f>
        <v>2024</v>
      </c>
      <c r="F12" s="5"/>
      <c r="I12" s="1"/>
      <c r="N12" s="9"/>
    </row>
    <row r="13" spans="2:14" ht="38.5" customHeight="1" x14ac:dyDescent="0.35">
      <c r="B13" s="55" t="s">
        <v>8</v>
      </c>
      <c r="C13" s="55"/>
      <c r="D13" s="54" t="s">
        <v>30</v>
      </c>
      <c r="E13" s="54"/>
      <c r="F13" s="54"/>
      <c r="I13" s="1"/>
    </row>
    <row r="14" spans="2:14" ht="23.5" customHeight="1" thickBot="1" x14ac:dyDescent="0.4">
      <c r="B14" s="34"/>
      <c r="C14" s="34"/>
      <c r="D14" s="34"/>
      <c r="E14" s="34"/>
      <c r="F14" s="34"/>
      <c r="H14" s="8"/>
      <c r="I14" s="1"/>
    </row>
    <row r="15" spans="2:14" ht="36" customHeight="1" thickTop="1" thickBot="1" x14ac:dyDescent="0.4">
      <c r="B15" s="38" t="s">
        <v>9</v>
      </c>
      <c r="C15" s="38"/>
      <c r="D15" s="30" t="s">
        <v>10</v>
      </c>
      <c r="E15" s="30" t="s">
        <v>11</v>
      </c>
      <c r="F15" s="30" t="s">
        <v>12</v>
      </c>
      <c r="I15" s="1"/>
    </row>
    <row r="16" spans="2:14" ht="40" customHeight="1" thickTop="1" x14ac:dyDescent="0.35">
      <c r="B16" s="39" t="s">
        <v>20</v>
      </c>
      <c r="C16" s="39"/>
      <c r="D16" s="27">
        <v>20</v>
      </c>
      <c r="E16" s="27">
        <v>60</v>
      </c>
      <c r="F16" s="27">
        <f>D16*E16</f>
        <v>1200</v>
      </c>
      <c r="I16" s="1"/>
    </row>
    <row r="17" spans="2:9" ht="39.5" customHeight="1" x14ac:dyDescent="0.35">
      <c r="B17" s="39" t="s">
        <v>21</v>
      </c>
      <c r="C17" s="39"/>
      <c r="D17" s="27">
        <v>10</v>
      </c>
      <c r="E17" s="27">
        <v>70</v>
      </c>
      <c r="F17" s="27">
        <f t="shared" ref="F17:F21" si="0">D17*E17</f>
        <v>700</v>
      </c>
      <c r="I17" s="1"/>
    </row>
    <row r="18" spans="2:9" ht="40" customHeight="1" x14ac:dyDescent="0.35">
      <c r="B18" s="39" t="s">
        <v>22</v>
      </c>
      <c r="C18" s="39"/>
      <c r="D18" s="27">
        <v>5</v>
      </c>
      <c r="E18" s="27">
        <v>40</v>
      </c>
      <c r="F18" s="27">
        <f t="shared" si="0"/>
        <v>200</v>
      </c>
      <c r="I18" s="1"/>
    </row>
    <row r="19" spans="2:9" ht="40" customHeight="1" x14ac:dyDescent="0.35">
      <c r="B19" s="39" t="s">
        <v>23</v>
      </c>
      <c r="C19" s="39"/>
      <c r="D19" s="27"/>
      <c r="E19" s="27"/>
      <c r="F19" s="27">
        <f t="shared" si="0"/>
        <v>0</v>
      </c>
      <c r="I19" s="1"/>
    </row>
    <row r="20" spans="2:9" ht="40" customHeight="1" x14ac:dyDescent="0.35">
      <c r="B20" s="39" t="s">
        <v>24</v>
      </c>
      <c r="C20" s="39"/>
      <c r="D20" s="27"/>
      <c r="E20" s="27"/>
      <c r="F20" s="27">
        <f t="shared" si="0"/>
        <v>0</v>
      </c>
      <c r="I20" s="1"/>
    </row>
    <row r="21" spans="2:9" ht="66" customHeight="1" x14ac:dyDescent="0.35">
      <c r="B21" s="54" t="s">
        <v>25</v>
      </c>
      <c r="C21" s="39"/>
      <c r="D21" s="27"/>
      <c r="E21" s="27"/>
      <c r="F21" s="27">
        <f t="shared" si="0"/>
        <v>0</v>
      </c>
      <c r="I21" s="1"/>
    </row>
    <row r="22" spans="2:9" ht="23" customHeight="1" x14ac:dyDescent="0.35">
      <c r="B22" s="28"/>
      <c r="C22" s="28"/>
      <c r="D22" s="28"/>
      <c r="E22" s="28"/>
      <c r="F22" s="28"/>
      <c r="I22" s="1"/>
    </row>
    <row r="23" spans="2:9" ht="44" customHeight="1" x14ac:dyDescent="0.35">
      <c r="B23" s="52" t="s">
        <v>13</v>
      </c>
      <c r="C23" s="52"/>
      <c r="D23" s="52">
        <f>SUM(F16:F21)</f>
        <v>2100</v>
      </c>
      <c r="E23" s="52"/>
      <c r="F23" s="28"/>
      <c r="I23" s="1"/>
    </row>
    <row r="24" spans="2:9" ht="20.5" customHeight="1" thickBot="1" x14ac:dyDescent="0.4">
      <c r="B24" s="27"/>
      <c r="C24" s="27"/>
      <c r="D24" s="27"/>
      <c r="E24" s="28"/>
      <c r="F24" s="28"/>
      <c r="I24" s="1"/>
    </row>
    <row r="25" spans="2:9" ht="36.5" customHeight="1" thickBot="1" x14ac:dyDescent="0.4">
      <c r="B25" s="56" t="s">
        <v>26</v>
      </c>
      <c r="C25" s="57"/>
      <c r="D25" s="57">
        <v>9447524819</v>
      </c>
      <c r="E25" s="57"/>
      <c r="F25" s="58"/>
      <c r="I25" s="1"/>
    </row>
    <row r="26" spans="2:9" ht="28" x14ac:dyDescent="0.35">
      <c r="B26" s="35"/>
      <c r="C26" s="35"/>
      <c r="D26" s="35"/>
      <c r="E26" s="35"/>
      <c r="F26" s="35"/>
      <c r="G26" s="2"/>
      <c r="H26" s="2"/>
      <c r="I26" s="3"/>
    </row>
  </sheetData>
  <mergeCells count="22">
    <mergeCell ref="B21:C21"/>
    <mergeCell ref="D13:F13"/>
    <mergeCell ref="B12:C12"/>
    <mergeCell ref="B13:C13"/>
    <mergeCell ref="B25:C25"/>
    <mergeCell ref="D25:F25"/>
    <mergeCell ref="B23:C23"/>
    <mergeCell ref="B19:C19"/>
    <mergeCell ref="B20:C20"/>
    <mergeCell ref="D23:E23"/>
    <mergeCell ref="B9:F9"/>
    <mergeCell ref="B2:I3"/>
    <mergeCell ref="B4:F4"/>
    <mergeCell ref="B5:F5"/>
    <mergeCell ref="B8:F8"/>
    <mergeCell ref="B6:F6"/>
    <mergeCell ref="B7:F7"/>
    <mergeCell ref="C11:E11"/>
    <mergeCell ref="B15:C15"/>
    <mergeCell ref="B16:C16"/>
    <mergeCell ref="B17:C17"/>
    <mergeCell ref="B18:C18"/>
  </mergeCells>
  <dataValidations count="2">
    <dataValidation type="list" allowBlank="1" showInputMessage="1" showErrorMessage="1" sqref="I8" xr:uid="{8040FB0B-3FCD-42B8-BCFD-101340FDEB26}">
      <formula1>"2024, 2025, 2026, 2027, 2028, 2029, 2030, 2031, 2032, 2033, 2034, 2035"</formula1>
    </dataValidation>
    <dataValidation type="list" allowBlank="1" showInputMessage="1" showErrorMessage="1" sqref="I6" xr:uid="{7476D051-16B4-4A84-B270-628976CB9EF3}">
      <formula1>"January, February, March, April, May, June, July, August, September, October, November, December"</formula1>
    </dataValidation>
  </dataValidations>
  <printOptions verticalCentered="1"/>
  <pageMargins left="0.70866141732283472" right="0.70866141732283472" top="0.74803149606299213" bottom="0.74803149606299213" header="0.31496062992125984" footer="0.31496062992125984"/>
  <pageSetup paperSize="11" scale="54" orientation="portrait" blackAndWhite="1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4FBDA-4A43-4186-B8FD-BCA0A6E92947}">
  <sheetPr codeName="Sheet2"/>
  <dimension ref="A1:E28"/>
  <sheetViews>
    <sheetView workbookViewId="0">
      <selection activeCell="E9" sqref="E9"/>
    </sheetView>
  </sheetViews>
  <sheetFormatPr defaultRowHeight="14.5" x14ac:dyDescent="0.35"/>
  <cols>
    <col min="1" max="1" width="7.54296875" style="4" customWidth="1"/>
    <col min="2" max="2" width="17.54296875" customWidth="1"/>
    <col min="3" max="3" width="15.1796875" customWidth="1"/>
    <col min="4" max="4" width="37.81640625" customWidth="1"/>
    <col min="5" max="5" width="12.453125" style="5" bestFit="1" customWidth="1"/>
  </cols>
  <sheetData>
    <row r="1" spans="1:5" ht="15" thickBot="1" x14ac:dyDescent="0.4">
      <c r="A1" s="12" t="s">
        <v>14</v>
      </c>
      <c r="B1" s="15" t="s">
        <v>15</v>
      </c>
      <c r="C1" s="15" t="s">
        <v>16</v>
      </c>
      <c r="D1" s="15" t="s">
        <v>17</v>
      </c>
      <c r="E1" s="16" t="s">
        <v>18</v>
      </c>
    </row>
    <row r="2" spans="1:5" x14ac:dyDescent="0.35">
      <c r="A2" s="13">
        <v>5008</v>
      </c>
      <c r="B2" s="20">
        <v>45606.769756944443</v>
      </c>
      <c r="C2" s="11" t="s">
        <v>19</v>
      </c>
      <c r="D2" s="10" t="s">
        <v>30</v>
      </c>
      <c r="E2" s="18">
        <v>2100</v>
      </c>
    </row>
    <row r="3" spans="1:5" x14ac:dyDescent="0.35">
      <c r="A3" s="14"/>
      <c r="B3" s="21"/>
      <c r="C3" s="7"/>
      <c r="D3" s="6"/>
      <c r="E3" s="19"/>
    </row>
    <row r="4" spans="1:5" x14ac:dyDescent="0.35">
      <c r="A4" s="14"/>
      <c r="B4" s="21"/>
      <c r="C4" s="7"/>
      <c r="D4" s="6"/>
      <c r="E4" s="19"/>
    </row>
    <row r="5" spans="1:5" x14ac:dyDescent="0.35">
      <c r="A5" s="14"/>
      <c r="B5" s="21"/>
      <c r="C5" s="7"/>
      <c r="D5" s="6"/>
      <c r="E5" s="19"/>
    </row>
    <row r="6" spans="1:5" x14ac:dyDescent="0.35">
      <c r="A6" s="14"/>
      <c r="B6" s="21"/>
      <c r="C6" s="7"/>
      <c r="D6" s="6"/>
      <c r="E6" s="19"/>
    </row>
    <row r="7" spans="1:5" x14ac:dyDescent="0.35">
      <c r="A7" s="14"/>
      <c r="B7" s="21"/>
      <c r="C7" s="7"/>
      <c r="D7" s="6"/>
      <c r="E7" s="19"/>
    </row>
    <row r="8" spans="1:5" x14ac:dyDescent="0.35">
      <c r="A8" s="14"/>
      <c r="B8" s="21"/>
      <c r="C8" s="7"/>
      <c r="D8" s="6"/>
      <c r="E8" s="19"/>
    </row>
    <row r="9" spans="1:5" x14ac:dyDescent="0.35">
      <c r="A9" s="14"/>
      <c r="B9" s="21"/>
      <c r="C9" s="7"/>
      <c r="D9" s="6"/>
      <c r="E9" s="19"/>
    </row>
    <row r="10" spans="1:5" x14ac:dyDescent="0.35">
      <c r="A10" s="14"/>
      <c r="B10" s="21"/>
      <c r="C10" s="7"/>
      <c r="D10" s="6"/>
      <c r="E10" s="19"/>
    </row>
    <row r="11" spans="1:5" x14ac:dyDescent="0.35">
      <c r="A11" s="14"/>
      <c r="B11" s="21"/>
      <c r="C11" s="7"/>
      <c r="D11" s="6"/>
      <c r="E11" s="19"/>
    </row>
    <row r="12" spans="1:5" x14ac:dyDescent="0.35">
      <c r="A12" s="14"/>
      <c r="B12" s="7"/>
      <c r="C12" s="7"/>
      <c r="D12" s="6"/>
      <c r="E12" s="14"/>
    </row>
    <row r="13" spans="1:5" x14ac:dyDescent="0.35">
      <c r="A13" s="14"/>
      <c r="B13" s="7"/>
      <c r="C13" s="7"/>
      <c r="D13" s="6"/>
      <c r="E13" s="14"/>
    </row>
    <row r="14" spans="1:5" x14ac:dyDescent="0.35">
      <c r="A14" s="14"/>
      <c r="B14" s="7"/>
      <c r="C14" s="7"/>
      <c r="D14" s="6"/>
      <c r="E14" s="14"/>
    </row>
    <row r="15" spans="1:5" x14ac:dyDescent="0.35">
      <c r="A15" s="14"/>
      <c r="B15" s="7"/>
      <c r="C15" s="7"/>
      <c r="D15" s="6"/>
      <c r="E15" s="14"/>
    </row>
    <row r="16" spans="1:5" x14ac:dyDescent="0.35">
      <c r="A16" s="14"/>
      <c r="B16" s="7"/>
      <c r="C16" s="7"/>
      <c r="D16" s="6"/>
      <c r="E16" s="14"/>
    </row>
    <row r="17" spans="1:5" x14ac:dyDescent="0.35">
      <c r="A17" s="14"/>
      <c r="B17" s="7"/>
      <c r="C17" s="7"/>
      <c r="D17" s="6"/>
      <c r="E17" s="14"/>
    </row>
    <row r="18" spans="1:5" x14ac:dyDescent="0.35">
      <c r="A18" s="14"/>
      <c r="B18" s="7"/>
      <c r="C18" s="7"/>
      <c r="D18" s="6"/>
      <c r="E18" s="14"/>
    </row>
    <row r="19" spans="1:5" x14ac:dyDescent="0.35">
      <c r="A19" s="14"/>
      <c r="B19" s="7"/>
      <c r="C19" s="7"/>
      <c r="D19" s="6"/>
      <c r="E19" s="14"/>
    </row>
    <row r="20" spans="1:5" x14ac:dyDescent="0.35">
      <c r="A20" s="14"/>
      <c r="B20" s="7"/>
      <c r="C20" s="7"/>
      <c r="D20" s="6"/>
      <c r="E20" s="14"/>
    </row>
    <row r="21" spans="1:5" x14ac:dyDescent="0.35">
      <c r="A21" s="14"/>
      <c r="B21" s="7"/>
      <c r="C21" s="7"/>
      <c r="D21" s="6"/>
      <c r="E21" s="14"/>
    </row>
    <row r="22" spans="1:5" x14ac:dyDescent="0.35">
      <c r="A22" s="14"/>
      <c r="B22" s="7"/>
      <c r="C22" s="7"/>
      <c r="D22" s="6"/>
      <c r="E22" s="14"/>
    </row>
    <row r="23" spans="1:5" x14ac:dyDescent="0.35">
      <c r="A23" s="14"/>
      <c r="B23" s="7"/>
      <c r="C23" s="7"/>
      <c r="D23" s="6"/>
      <c r="E23" s="17"/>
    </row>
    <row r="24" spans="1:5" x14ac:dyDescent="0.35">
      <c r="A24" s="14"/>
      <c r="B24" s="7"/>
      <c r="C24" s="7"/>
      <c r="D24" s="6"/>
      <c r="E24" s="17"/>
    </row>
    <row r="25" spans="1:5" x14ac:dyDescent="0.35">
      <c r="A25" s="14"/>
      <c r="B25" s="7"/>
      <c r="C25" s="7"/>
      <c r="D25" s="6"/>
      <c r="E25" s="17"/>
    </row>
    <row r="26" spans="1:5" x14ac:dyDescent="0.35">
      <c r="A26" s="14"/>
      <c r="B26" s="7"/>
      <c r="C26" s="7"/>
      <c r="D26" s="6"/>
      <c r="E26" s="17"/>
    </row>
    <row r="27" spans="1:5" x14ac:dyDescent="0.35">
      <c r="A27" s="14"/>
      <c r="B27" s="7"/>
      <c r="C27" s="7"/>
      <c r="D27" s="6"/>
      <c r="E27" s="17"/>
    </row>
    <row r="28" spans="1:5" x14ac:dyDescent="0.35">
      <c r="A28" s="14"/>
      <c r="B28" s="6"/>
      <c r="C28" s="6"/>
      <c r="D28" s="6"/>
      <c r="E28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Bill</vt:lpstr>
      <vt:lpstr>Sales</vt:lpstr>
      <vt:lpstr>Bill!Print_Area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Lakshmi Anush</dc:creator>
  <cp:keywords/>
  <dc:description/>
  <cp:lastModifiedBy>Lakshmi Anush</cp:lastModifiedBy>
  <cp:revision/>
  <cp:lastPrinted>2024-02-11T04:57:28Z</cp:lastPrinted>
  <dcterms:created xsi:type="dcterms:W3CDTF">2024-01-25T12:01:27Z</dcterms:created>
  <dcterms:modified xsi:type="dcterms:W3CDTF">2024-11-10T12:58:31Z</dcterms:modified>
  <cp:category/>
  <cp:contentStatus/>
</cp:coreProperties>
</file>